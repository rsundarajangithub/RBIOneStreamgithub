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Time Periods" sheetId="4" state="visible" r:id="rId4"/>
  </sheets>
  <definedNames>
    <definedName name="_xlnm._FilterDatabase" localSheetId="1" hidden="1">'Mappings'!$A$1:$J$90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999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7" customWidth="1" min="3" max="3"/>
    <col width="20" customWidth="1" min="4" max="4"/>
  </cols>
  <sheetData>
    <row r="1">
      <c r="A1" s="1" t="inlineStr">
        <is>
          <t>segment_id</t>
        </is>
      </c>
      <c r="B1" s="1" t="inlineStr">
        <is>
          <t>brand_name</t>
        </is>
      </c>
      <c r="C1" s="1" t="inlineStr">
        <is>
          <t>entity</t>
        </is>
      </c>
      <c r="D1" s="1" t="inlineStr">
        <is>
          <t>ud3</t>
        </is>
      </c>
    </row>
    <row r="2">
      <c r="A2" t="inlineStr">
        <is>
          <t>bk-usc</t>
        </is>
      </c>
      <c r="B2" t="inlineStr">
        <is>
          <t>BK US&amp;C</t>
        </is>
      </c>
      <c r="C2" t="inlineStr">
        <is>
          <t>RestaurantBrandsIntlMNGT</t>
        </is>
      </c>
      <c r="D2" t="inlineStr">
        <is>
          <t>BK USC</t>
        </is>
      </c>
    </row>
    <row r="3">
      <c r="A3" t="inlineStr">
        <is>
          <t>plk-usc</t>
        </is>
      </c>
      <c r="B3" t="inlineStr">
        <is>
          <t>Popeyes US&amp;C</t>
        </is>
      </c>
      <c r="C3" t="inlineStr">
        <is>
          <t>RestaurantBrandsIntlMNGT</t>
        </is>
      </c>
      <c r="D3" t="inlineStr">
        <is>
          <t>PLK USC</t>
        </is>
      </c>
    </row>
    <row r="4">
      <c r="A4" t="inlineStr">
        <is>
          <t>fhs-usc</t>
        </is>
      </c>
      <c r="B4" t="inlineStr">
        <is>
          <t>Firehouse US&amp;C</t>
        </is>
      </c>
      <c r="C4" t="inlineStr">
        <is>
          <t>RestaurantBrandsIntlMNGT</t>
        </is>
      </c>
      <c r="D4" t="inlineStr">
        <is>
          <t>FHS USC</t>
        </is>
      </c>
    </row>
    <row r="5">
      <c r="A5" t="inlineStr">
        <is>
          <t>th-usc</t>
        </is>
      </c>
      <c r="B5" t="inlineStr">
        <is>
          <t>Tim Hortons C&amp;US</t>
        </is>
      </c>
      <c r="C5" t="inlineStr">
        <is>
          <t>RestaurantBrandsIntlMNGT</t>
        </is>
      </c>
      <c r="D5" t="inlineStr">
        <is>
          <t>TH C&amp;US</t>
        </is>
      </c>
    </row>
    <row r="6">
      <c r="A6" t="inlineStr">
        <is>
          <t>intl</t>
        </is>
      </c>
      <c r="B6" t="inlineStr">
        <is>
          <t>RBI International</t>
        </is>
      </c>
      <c r="C6" t="inlineStr">
        <is>
          <t>RestaurantBrandsIntlMNGT</t>
        </is>
      </c>
      <c r="D6" t="inlineStr">
        <is>
          <t>RBI_International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6" customWidth="1" min="4" max="4"/>
    <col width="24" customWidth="1" min="5" max="5"/>
    <col width="20" customWidth="1" min="6" max="6"/>
    <col width="10" customWidth="1" min="7" max="7"/>
    <col width="13" customWidth="1" min="8" max="8"/>
    <col width="40" customWidth="1" min="9" max="9"/>
    <col width="38" customWidth="1" min="10" max="10"/>
  </cols>
  <sheetData>
    <row r="1">
      <c r="A1" s="1" t="inlineStr">
        <is>
          <t>segment</t>
        </is>
      </c>
      <c r="B1" s="1" t="inlineStr">
        <is>
          <t>section</t>
        </is>
      </c>
      <c r="C1" s="1" t="inlineStr">
        <is>
          <t>dashboard_label</t>
        </is>
      </c>
      <c r="D1" s="1" t="inlineStr">
        <is>
          <t>os_account</t>
        </is>
      </c>
      <c r="E1" s="1" t="inlineStr">
        <is>
          <t>ud1</t>
        </is>
      </c>
      <c r="F1" s="1" t="inlineStr">
        <is>
          <t>ud1_forecast</t>
        </is>
      </c>
      <c r="G1" s="1" t="inlineStr">
        <is>
          <t>scale</t>
        </is>
      </c>
      <c r="H1" s="1" t="inlineStr">
        <is>
          <t>value_type</t>
        </is>
      </c>
      <c r="I1" s="1" t="inlineStr">
        <is>
          <t>computed_from</t>
        </is>
      </c>
      <c r="J1" s="1" t="inlineStr">
        <is>
          <t>notes</t>
        </is>
      </c>
    </row>
    <row r="2">
      <c r="A2" t="inlineStr">
        <is>
          <t>bk-usc</t>
        </is>
      </c>
      <c r="B2" t="inlineStr">
        <is>
          <t>kpi_card</t>
        </is>
      </c>
      <c r="C2" t="inlineStr">
        <is>
          <t>SSS</t>
        </is>
      </c>
      <c r="D2" t="inlineStr">
        <is>
          <t>ReportedTotalCompSalesSYSTEMPct</t>
        </is>
      </c>
      <c r="E2" t="inlineStr">
        <is>
          <t>LOB_FPA</t>
        </is>
      </c>
      <c r="F2" t="inlineStr"/>
      <c r="G2" t="n">
        <v>1</v>
      </c>
      <c r="H2" t="inlineStr">
        <is>
          <t>percent</t>
        </is>
      </c>
      <c r="I2" t="inlineStr"/>
      <c r="J2" t="inlineStr">
        <is>
          <t>Same-store sales %</t>
        </is>
      </c>
    </row>
    <row r="3">
      <c r="A3" t="inlineStr">
        <is>
          <t>bk-usc</t>
        </is>
      </c>
      <c r="B3" t="inlineStr">
        <is>
          <t>kpi_card</t>
        </is>
      </c>
      <c r="C3" t="inlineStr">
        <is>
          <t>SST</t>
        </is>
      </c>
      <c r="D3" t="inlineStr">
        <is>
          <t>ReportedTotalCompTrafficSYSTEMPct</t>
        </is>
      </c>
      <c r="E3" t="inlineStr">
        <is>
          <t>LOB_FPA</t>
        </is>
      </c>
      <c r="F3" t="inlineStr"/>
      <c r="G3" t="n">
        <v>1</v>
      </c>
      <c r="H3" t="inlineStr">
        <is>
          <t>percent</t>
        </is>
      </c>
      <c r="I3" t="inlineStr"/>
      <c r="J3" t="inlineStr">
        <is>
          <t>Same-store traffic %</t>
        </is>
      </c>
    </row>
    <row r="4">
      <c r="A4" t="inlineStr">
        <is>
          <t>bk-usc</t>
        </is>
      </c>
      <c r="B4" t="inlineStr">
        <is>
          <t>kpi_card</t>
        </is>
      </c>
      <c r="C4" t="inlineStr">
        <is>
          <t>NRG</t>
        </is>
      </c>
      <c r="D4" t="inlineStr">
        <is>
          <t>SystemNRG</t>
        </is>
      </c>
      <c r="E4" t="inlineStr">
        <is>
          <t>LOB_FPA</t>
        </is>
      </c>
      <c r="F4" t="inlineStr"/>
      <c r="G4" t="n">
        <v>1</v>
      </c>
      <c r="H4" t="inlineStr">
        <is>
          <t>count</t>
        </is>
      </c>
      <c r="I4" t="inlineStr"/>
      <c r="J4" t="inlineStr">
        <is>
          <t>Net restaurant growth</t>
        </is>
      </c>
    </row>
    <row r="5">
      <c r="A5" s="2" t="inlineStr">
        <is>
          <t>bk-usc</t>
        </is>
      </c>
      <c r="B5" s="2" t="inlineStr">
        <is>
          <t>kpi_card</t>
        </is>
      </c>
      <c r="C5" s="2" t="inlineStr">
        <is>
          <t>AOI</t>
        </is>
      </c>
      <c r="D5" s="2" t="inlineStr"/>
      <c r="E5" s="2" t="inlineStr"/>
      <c r="F5" s="2" t="inlineStr"/>
      <c r="G5" s="2" t="n">
        <v>1000000</v>
      </c>
      <c r="H5" s="2" t="inlineStr">
        <is>
          <t>currency</t>
        </is>
      </c>
      <c r="I5" s="2" t="inlineStr">
        <is>
          <t>Franchise AOI;Property AOI;Ad Fund AOI;Company AOI;Tech Fund AOI;Segment G&amp;A</t>
        </is>
      </c>
      <c r="J5" s="2" t="inlineStr">
        <is>
          <t>Computed sum of AOI sub-items</t>
        </is>
      </c>
    </row>
    <row r="6">
      <c r="A6" t="inlineStr">
        <is>
          <t>bk-usc</t>
        </is>
      </c>
      <c r="B6" t="inlineStr">
        <is>
          <t>kpi_card</t>
        </is>
      </c>
      <c r="C6" t="inlineStr">
        <is>
          <t>Unit %</t>
        </is>
      </c>
      <c r="D6" t="inlineStr"/>
      <c r="E6" t="inlineStr"/>
      <c r="F6" t="inlineStr"/>
      <c r="G6" t="n">
        <v>1</v>
      </c>
      <c r="H6" t="inlineStr">
        <is>
          <t>percent</t>
        </is>
      </c>
      <c r="I6" t="inlineStr">
        <is>
          <t>DERIVED:NRG/StoreCount</t>
        </is>
      </c>
      <c r="J6">
        <f> NRG ÷ SystemStoreCount</f>
        <v/>
      </c>
    </row>
    <row r="7">
      <c r="A7" t="inlineStr">
        <is>
          <t>bk-usc</t>
        </is>
      </c>
      <c r="B7" t="inlineStr">
        <is>
          <t>kpi_card</t>
        </is>
      </c>
      <c r="C7" t="inlineStr">
        <is>
          <t>SWSG</t>
        </is>
      </c>
      <c r="D7" t="inlineStr"/>
      <c r="E7" t="inlineStr"/>
      <c r="F7" t="inlineStr"/>
      <c r="G7" t="n">
        <v>1</v>
      </c>
      <c r="H7" t="inlineStr">
        <is>
          <t>percent</t>
        </is>
      </c>
      <c r="I7" t="inlineStr">
        <is>
          <t>DERIVED:FzSalesGrowth</t>
        </is>
      </c>
      <c r="J7">
        <f> TotalFzSales act/py − 1</f>
        <v/>
      </c>
    </row>
    <row r="8">
      <c r="A8" t="inlineStr">
        <is>
          <t>bk-usc</t>
        </is>
      </c>
      <c r="B8" t="inlineStr">
        <is>
          <t>kpi_card</t>
        </is>
      </c>
      <c r="C8" t="inlineStr">
        <is>
          <t>AOIG</t>
        </is>
      </c>
      <c r="D8" t="inlineStr"/>
      <c r="E8" t="inlineStr"/>
      <c r="F8" t="inlineStr"/>
      <c r="G8" t="n">
        <v>1</v>
      </c>
      <c r="H8" t="inlineStr">
        <is>
          <t>percent</t>
        </is>
      </c>
      <c r="I8" t="inlineStr">
        <is>
          <t>DERIVED:AoiGrowth</t>
        </is>
      </c>
      <c r="J8">
        <f> AOI act/py − 1</f>
        <v/>
      </c>
    </row>
    <row r="9">
      <c r="A9" t="inlineStr">
        <is>
          <t>bk-usc</t>
        </is>
      </c>
      <c r="B9" t="inlineStr">
        <is>
          <t>kpi_tracker</t>
        </is>
      </c>
      <c r="C9" t="inlineStr">
        <is>
          <t>sss</t>
        </is>
      </c>
      <c r="D9" t="inlineStr">
        <is>
          <t>ReportedTotalCompSalesSYSTEMPct</t>
        </is>
      </c>
      <c r="E9" t="inlineStr">
        <is>
          <t>LOB_FPA</t>
        </is>
      </c>
      <c r="F9" t="inlineStr"/>
      <c r="G9" t="n">
        <v>1</v>
      </c>
      <c r="H9" t="inlineStr">
        <is>
          <t>percent</t>
        </is>
      </c>
      <c r="I9" t="inlineStr"/>
      <c r="J9" t="inlineStr"/>
    </row>
    <row r="10">
      <c r="A10" t="inlineStr">
        <is>
          <t>bk-usc</t>
        </is>
      </c>
      <c r="B10" t="inlineStr">
        <is>
          <t>kpi_tracker</t>
        </is>
      </c>
      <c r="C10" t="inlineStr">
        <is>
          <t>sst</t>
        </is>
      </c>
      <c r="D10" t="inlineStr">
        <is>
          <t>ReportedTotalCompTrafficSYSTEMPct</t>
        </is>
      </c>
      <c r="E10" t="inlineStr">
        <is>
          <t>LOB_FPA</t>
        </is>
      </c>
      <c r="F10" t="inlineStr"/>
      <c r="G10" t="n">
        <v>1</v>
      </c>
      <c r="H10" t="inlineStr">
        <is>
          <t>percent</t>
        </is>
      </c>
      <c r="I10" t="inlineStr"/>
      <c r="J10" t="inlineStr"/>
    </row>
    <row r="11">
      <c r="A11" t="inlineStr">
        <is>
          <t>bk-usc</t>
        </is>
      </c>
      <c r="B11" t="inlineStr">
        <is>
          <t>kpi_tracker</t>
        </is>
      </c>
      <c r="C11" t="inlineStr">
        <is>
          <t>nrg</t>
        </is>
      </c>
      <c r="D11" t="inlineStr">
        <is>
          <t>SystemNRG</t>
        </is>
      </c>
      <c r="E11" t="inlineStr">
        <is>
          <t>LOB_FPA</t>
        </is>
      </c>
      <c r="F11" t="inlineStr"/>
      <c r="G11" t="n">
        <v>1</v>
      </c>
      <c r="H11" t="inlineStr">
        <is>
          <t>count</t>
        </is>
      </c>
      <c r="I11" t="inlineStr"/>
      <c r="J11" t="inlineStr"/>
    </row>
    <row r="12">
      <c r="A12" s="2" t="inlineStr">
        <is>
          <t>bk-usc</t>
        </is>
      </c>
      <c r="B12" s="2" t="inlineStr">
        <is>
          <t>kpi_tracker</t>
        </is>
      </c>
      <c r="C12" s="2" t="inlineStr">
        <is>
          <t>aoi</t>
        </is>
      </c>
      <c r="D12" s="2" t="inlineStr"/>
      <c r="E12" s="2" t="inlineStr"/>
      <c r="F12" s="2" t="inlineStr"/>
      <c r="G12" s="2" t="n">
        <v>1000000</v>
      </c>
      <c r="H12" s="2" t="inlineStr">
        <is>
          <t>currency</t>
        </is>
      </c>
      <c r="I12" s="2" t="inlineStr">
        <is>
          <t>Franchise AOI;Property AOI;Ad Fund AOI;Company AOI;Tech Fund AOI;Segment G&amp;A</t>
        </is>
      </c>
      <c r="J12" s="2" t="inlineStr">
        <is>
          <t>Computed sum</t>
        </is>
      </c>
    </row>
    <row r="13">
      <c r="A13" t="inlineStr">
        <is>
          <t>bk-usc</t>
        </is>
      </c>
      <c r="B13" t="inlineStr">
        <is>
          <t>financial</t>
        </is>
      </c>
      <c r="C13" t="inlineStr">
        <is>
          <t>FZ Sales</t>
        </is>
      </c>
      <c r="D13" t="inlineStr">
        <is>
          <t>TotalFzSales</t>
        </is>
      </c>
      <c r="E13" t="inlineStr">
        <is>
          <t>LOB_FPA</t>
        </is>
      </c>
      <c r="F13" t="inlineStr"/>
      <c r="G13" t="n">
        <v>1000000</v>
      </c>
      <c r="H13" t="inlineStr">
        <is>
          <t>currency</t>
        </is>
      </c>
      <c r="I13" t="inlineStr"/>
      <c r="J13" t="inlineStr"/>
    </row>
    <row r="14">
      <c r="A14" t="inlineStr">
        <is>
          <t>bk-usc</t>
        </is>
      </c>
      <c r="B14" t="inlineStr">
        <is>
          <t>financial</t>
        </is>
      </c>
      <c r="C14" t="inlineStr">
        <is>
          <t>Royalty Rate %</t>
        </is>
      </c>
      <c r="D14" t="inlineStr">
        <is>
          <t>RoyaltyRatePrc_Calc</t>
        </is>
      </c>
      <c r="E14" t="inlineStr">
        <is>
          <t>Franchise_FPA</t>
        </is>
      </c>
      <c r="F14" t="inlineStr"/>
      <c r="G14" t="n">
        <v>1</v>
      </c>
      <c r="H14" t="inlineStr">
        <is>
          <t>rate</t>
        </is>
      </c>
      <c r="I14" t="inlineStr"/>
      <c r="J14" t="inlineStr">
        <is>
          <t>Decimal ratio</t>
        </is>
      </c>
    </row>
    <row r="15">
      <c r="A15" t="inlineStr">
        <is>
          <t>bk-usc</t>
        </is>
      </c>
      <c r="B15" t="inlineStr">
        <is>
          <t>financial</t>
        </is>
      </c>
      <c r="C15" t="inlineStr">
        <is>
          <t>Royalties</t>
        </is>
      </c>
      <c r="D15" t="inlineStr">
        <is>
          <t>RoyaltiesNet</t>
        </is>
      </c>
      <c r="E15" t="inlineStr">
        <is>
          <t>Franchise_FPA</t>
        </is>
      </c>
      <c r="F15" t="inlineStr"/>
      <c r="G15" t="n">
        <v>1000000</v>
      </c>
      <c r="H15" t="inlineStr">
        <is>
          <t>currency</t>
        </is>
      </c>
      <c r="I15" t="inlineStr"/>
      <c r="J15" t="inlineStr"/>
    </row>
    <row r="16">
      <c r="A16" t="inlineStr">
        <is>
          <t>bk-usc</t>
        </is>
      </c>
      <c r="B16" t="inlineStr">
        <is>
          <t>financial</t>
        </is>
      </c>
      <c r="C16" t="inlineStr">
        <is>
          <t>FZ &amp; Successor Fees</t>
        </is>
      </c>
      <c r="D16" t="inlineStr">
        <is>
          <t>Franchise &amp; Successor Fees</t>
        </is>
      </c>
      <c r="E16" t="inlineStr">
        <is>
          <t>Franchise_FPA</t>
        </is>
      </c>
      <c r="F16" t="inlineStr"/>
      <c r="G16" t="n">
        <v>1000000</v>
      </c>
      <c r="H16" t="inlineStr">
        <is>
          <t>currency</t>
        </is>
      </c>
      <c r="I16" t="inlineStr"/>
      <c r="J16" t="inlineStr"/>
    </row>
    <row r="17">
      <c r="A17" t="inlineStr">
        <is>
          <t>bk-usc</t>
        </is>
      </c>
      <c r="B17" t="inlineStr">
        <is>
          <t>financial</t>
        </is>
      </c>
      <c r="C17" t="inlineStr">
        <is>
          <t>Amortized Fees</t>
        </is>
      </c>
      <c r="D17" t="inlineStr"/>
      <c r="E17" t="inlineStr"/>
      <c r="F17" t="inlineStr"/>
      <c r="G17" t="n">
        <v>1000000</v>
      </c>
      <c r="H17" t="inlineStr">
        <is>
          <t>currency</t>
        </is>
      </c>
      <c r="I17" t="inlineStr"/>
      <c r="J17" s="3" t="inlineStr">
        <is>
          <t>NEEDS MAPPING</t>
        </is>
      </c>
    </row>
    <row r="18">
      <c r="A18" t="inlineStr">
        <is>
          <t>bk-usc</t>
        </is>
      </c>
      <c r="B18" t="inlineStr">
        <is>
          <t>financial</t>
        </is>
      </c>
      <c r="C18" t="inlineStr">
        <is>
          <t>Unamortized Fees</t>
        </is>
      </c>
      <c r="D18" t="inlineStr">
        <is>
          <t>Unamortized Fees_FPA</t>
        </is>
      </c>
      <c r="E18" t="inlineStr">
        <is>
          <t>Franchise_FPA</t>
        </is>
      </c>
      <c r="F18" t="inlineStr"/>
      <c r="G18" t="n">
        <v>1000000</v>
      </c>
      <c r="H18" t="inlineStr">
        <is>
          <t>currency</t>
        </is>
      </c>
      <c r="I18" t="inlineStr"/>
      <c r="J18" t="inlineStr"/>
    </row>
    <row r="19">
      <c r="A19" t="inlineStr">
        <is>
          <t>bk-usc</t>
        </is>
      </c>
      <c r="B19" t="inlineStr">
        <is>
          <t>financial</t>
        </is>
      </c>
      <c r="C19" t="inlineStr">
        <is>
          <t>Total Franchise Revenue</t>
        </is>
      </c>
      <c r="D19" t="inlineStr">
        <is>
          <t>FranchiseRevenueTotal</t>
        </is>
      </c>
      <c r="E19" t="inlineStr">
        <is>
          <t>Franchise_FPA</t>
        </is>
      </c>
      <c r="F19" t="inlineStr"/>
      <c r="G19" t="n">
        <v>1000000</v>
      </c>
      <c r="H19" t="inlineStr">
        <is>
          <t>currency</t>
        </is>
      </c>
      <c r="I19" t="inlineStr"/>
      <c r="J19" t="inlineStr"/>
    </row>
    <row r="20">
      <c r="A20" t="inlineStr">
        <is>
          <t>bk-usc</t>
        </is>
      </c>
      <c r="B20" t="inlineStr">
        <is>
          <t>financial</t>
        </is>
      </c>
      <c r="C20" t="inlineStr">
        <is>
          <t>FZ Bad Debt</t>
        </is>
      </c>
      <c r="D20" t="inlineStr">
        <is>
          <t>BadDebt</t>
        </is>
      </c>
      <c r="E20" t="inlineStr">
        <is>
          <t>Franchise_FPA</t>
        </is>
      </c>
      <c r="F20" t="inlineStr"/>
      <c r="G20" t="n">
        <v>1000000</v>
      </c>
      <c r="H20" t="inlineStr">
        <is>
          <t>currency</t>
        </is>
      </c>
      <c r="I20" t="inlineStr"/>
      <c r="J20" t="inlineStr"/>
    </row>
    <row r="21">
      <c r="A21" t="inlineStr">
        <is>
          <t>bk-usc</t>
        </is>
      </c>
      <c r="B21" t="inlineStr">
        <is>
          <t>financial</t>
        </is>
      </c>
      <c r="C21" t="inlineStr">
        <is>
          <t>Other FZ Expense</t>
        </is>
      </c>
      <c r="D21" t="inlineStr"/>
      <c r="E21" t="inlineStr"/>
      <c r="F21" t="inlineStr"/>
      <c r="G21" t="n">
        <v>1000000</v>
      </c>
      <c r="H21" t="inlineStr">
        <is>
          <t>currency</t>
        </is>
      </c>
      <c r="I21" t="inlineStr"/>
      <c r="J21" s="3" t="inlineStr">
        <is>
          <t>NEEDS MAPPING</t>
        </is>
      </c>
    </row>
    <row r="22">
      <c r="A22" t="inlineStr">
        <is>
          <t>bk-usc</t>
        </is>
      </c>
      <c r="B22" t="inlineStr">
        <is>
          <t>financial</t>
        </is>
      </c>
      <c r="C22" t="inlineStr">
        <is>
          <t>Franchise AOI</t>
        </is>
      </c>
      <c r="D22" t="inlineStr">
        <is>
          <t>AOI</t>
        </is>
      </c>
      <c r="E22" t="inlineStr">
        <is>
          <t>Franchise_FPA</t>
        </is>
      </c>
      <c r="F22" t="inlineStr">
        <is>
          <t>Franchise</t>
        </is>
      </c>
      <c r="G22" t="n">
        <v>1000000</v>
      </c>
      <c r="H22" t="inlineStr">
        <is>
          <t>currency</t>
        </is>
      </c>
      <c r="I22" t="inlineStr"/>
      <c r="J22" t="inlineStr"/>
    </row>
    <row r="23">
      <c r="A23" t="inlineStr">
        <is>
          <t>bk-usc</t>
        </is>
      </c>
      <c r="B23" t="inlineStr">
        <is>
          <t>financial</t>
        </is>
      </c>
      <c r="C23" t="inlineStr">
        <is>
          <t>Property AOI</t>
        </is>
      </c>
      <c r="D23" t="inlineStr">
        <is>
          <t>AOI</t>
        </is>
      </c>
      <c r="E23" t="inlineStr">
        <is>
          <t>Property_FPA</t>
        </is>
      </c>
      <c r="F23" t="inlineStr">
        <is>
          <t>Property</t>
        </is>
      </c>
      <c r="G23" t="n">
        <v>1000000</v>
      </c>
      <c r="H23" t="inlineStr">
        <is>
          <t>currency</t>
        </is>
      </c>
      <c r="I23" t="inlineStr"/>
      <c r="J23" t="inlineStr"/>
    </row>
    <row r="24">
      <c r="A24" t="inlineStr">
        <is>
          <t>bk-usc</t>
        </is>
      </c>
      <c r="B24" t="inlineStr">
        <is>
          <t>financial</t>
        </is>
      </c>
      <c r="C24" t="inlineStr">
        <is>
          <t>Ad Fund AOI</t>
        </is>
      </c>
      <c r="D24" t="inlineStr">
        <is>
          <t>AOI</t>
        </is>
      </c>
      <c r="E24" t="inlineStr">
        <is>
          <t>Advertising</t>
        </is>
      </c>
      <c r="F24" t="inlineStr">
        <is>
          <t>Advertising</t>
        </is>
      </c>
      <c r="G24" t="n">
        <v>1000000</v>
      </c>
      <c r="H24" t="inlineStr">
        <is>
          <t>currency</t>
        </is>
      </c>
      <c r="I24" t="inlineStr"/>
      <c r="J24" t="inlineStr"/>
    </row>
    <row r="25">
      <c r="A25" t="inlineStr">
        <is>
          <t>bk-usc</t>
        </is>
      </c>
      <c r="B25" t="inlineStr">
        <is>
          <t>financial</t>
        </is>
      </c>
      <c r="C25" t="inlineStr">
        <is>
          <t>Company AOI</t>
        </is>
      </c>
      <c r="D25" t="inlineStr">
        <is>
          <t>AOI</t>
        </is>
      </c>
      <c r="E25" t="inlineStr">
        <is>
          <t>Company</t>
        </is>
      </c>
      <c r="F25" t="inlineStr">
        <is>
          <t>Company</t>
        </is>
      </c>
      <c r="G25" t="n">
        <v>1000000</v>
      </c>
      <c r="H25" t="inlineStr">
        <is>
          <t>currency</t>
        </is>
      </c>
      <c r="I25" t="inlineStr"/>
      <c r="J25" t="inlineStr"/>
    </row>
    <row r="26">
      <c r="A26" t="inlineStr">
        <is>
          <t>bk-usc</t>
        </is>
      </c>
      <c r="B26" t="inlineStr">
        <is>
          <t>financial</t>
        </is>
      </c>
      <c r="C26" t="inlineStr">
        <is>
          <t>Tech Fund AOI</t>
        </is>
      </c>
      <c r="D26" t="inlineStr">
        <is>
          <t>AOI</t>
        </is>
      </c>
      <c r="E26" t="inlineStr">
        <is>
          <t>LOB_Regional_Tech_FPA</t>
        </is>
      </c>
      <c r="F26" t="inlineStr">
        <is>
          <t>LOB_Regional_Tech</t>
        </is>
      </c>
      <c r="G26" t="n">
        <v>1000000</v>
      </c>
      <c r="H26" t="inlineStr">
        <is>
          <t>currency</t>
        </is>
      </c>
      <c r="I26" t="inlineStr"/>
      <c r="J26" t="inlineStr"/>
    </row>
    <row r="27">
      <c r="A27" t="inlineStr">
        <is>
          <t>bk-usc</t>
        </is>
      </c>
      <c r="B27" t="inlineStr">
        <is>
          <t>financial</t>
        </is>
      </c>
      <c r="C27" t="inlineStr">
        <is>
          <t>Segment G&amp;A</t>
        </is>
      </c>
      <c r="D27" t="inlineStr">
        <is>
          <t>AOI</t>
        </is>
      </c>
      <c r="E27" t="inlineStr">
        <is>
          <t>CorporateLOB_FPA</t>
        </is>
      </c>
      <c r="F27" t="inlineStr">
        <is>
          <t>CorporateLOB</t>
        </is>
      </c>
      <c r="G27" t="n">
        <v>1000000</v>
      </c>
      <c r="H27" t="inlineStr">
        <is>
          <t>currency</t>
        </is>
      </c>
      <c r="I27" t="inlineStr"/>
      <c r="J27" t="inlineStr">
        <is>
          <t>May also be 601 in some scenarios</t>
        </is>
      </c>
    </row>
    <row r="28">
      <c r="A28" t="inlineStr">
        <is>
          <t>bk-usc</t>
        </is>
      </c>
      <c r="B28" t="inlineStr">
        <is>
          <t>financial</t>
        </is>
      </c>
      <c r="C28" t="inlineStr">
        <is>
          <t>Other Corp</t>
        </is>
      </c>
      <c r="D28" t="inlineStr"/>
      <c r="E28" t="inlineStr"/>
      <c r="F28" t="inlineStr"/>
      <c r="G28" t="n">
        <v>1000000</v>
      </c>
      <c r="H28" t="inlineStr">
        <is>
          <t>currency</t>
        </is>
      </c>
      <c r="I28" t="inlineStr"/>
      <c r="J28" s="3" t="inlineStr">
        <is>
          <t>NEEDS MAPPING</t>
        </is>
      </c>
    </row>
    <row r="29">
      <c r="A29" s="2" t="inlineStr">
        <is>
          <t>bk-usc</t>
        </is>
      </c>
      <c r="B29" s="2" t="inlineStr">
        <is>
          <t>financial</t>
        </is>
      </c>
      <c r="C29" s="2" t="inlineStr">
        <is>
          <t>Total AOI</t>
        </is>
      </c>
      <c r="D29" s="2" t="inlineStr"/>
      <c r="E29" s="2" t="inlineStr"/>
      <c r="F29" s="2" t="inlineStr"/>
      <c r="G29" s="2" t="n">
        <v>1000000</v>
      </c>
      <c r="H29" s="2" t="inlineStr">
        <is>
          <t>currency</t>
        </is>
      </c>
      <c r="I29" s="2" t="inlineStr">
        <is>
          <t>Franchise AOI;Property AOI;Ad Fund AOI;Company AOI;Tech Fund AOI;Segment G&amp;A</t>
        </is>
      </c>
      <c r="J29" s="2" t="inlineStr">
        <is>
          <t>Computed sum</t>
        </is>
      </c>
    </row>
    <row r="30">
      <c r="A30" t="inlineStr">
        <is>
          <t>bk-usc</t>
        </is>
      </c>
      <c r="B30" t="inlineStr">
        <is>
          <t>yoy</t>
        </is>
      </c>
      <c r="C30" t="inlineStr">
        <is>
          <t>SSS</t>
        </is>
      </c>
      <c r="D30" t="inlineStr">
        <is>
          <t>ReportedTotalCompSalesSYSTEMPct</t>
        </is>
      </c>
      <c r="E30" t="inlineStr">
        <is>
          <t>LOB_FPA</t>
        </is>
      </c>
      <c r="F30" t="inlineStr"/>
      <c r="G30" t="n">
        <v>1</v>
      </c>
      <c r="H30" t="inlineStr">
        <is>
          <t>percent</t>
        </is>
      </c>
      <c r="I30" t="inlineStr"/>
      <c r="J30" t="inlineStr"/>
    </row>
    <row r="31">
      <c r="A31" t="inlineStr">
        <is>
          <t>bk-usc</t>
        </is>
      </c>
      <c r="B31" t="inlineStr">
        <is>
          <t>yoy</t>
        </is>
      </c>
      <c r="C31" t="inlineStr">
        <is>
          <t>SST</t>
        </is>
      </c>
      <c r="D31" t="inlineStr">
        <is>
          <t>ReportedTotalCompTrafficSYSTEMPct</t>
        </is>
      </c>
      <c r="E31" t="inlineStr">
        <is>
          <t>LOB_FPA</t>
        </is>
      </c>
      <c r="F31" t="inlineStr"/>
      <c r="G31" t="n">
        <v>1</v>
      </c>
      <c r="H31" t="inlineStr">
        <is>
          <t>percent</t>
        </is>
      </c>
      <c r="I31" t="inlineStr"/>
      <c r="J31" t="inlineStr"/>
    </row>
    <row r="32">
      <c r="A32" t="inlineStr">
        <is>
          <t>bk-usc</t>
        </is>
      </c>
      <c r="B32" t="inlineStr">
        <is>
          <t>yoy</t>
        </is>
      </c>
      <c r="C32" t="inlineStr">
        <is>
          <t>NRG</t>
        </is>
      </c>
      <c r="D32" t="inlineStr">
        <is>
          <t>SystemNRG</t>
        </is>
      </c>
      <c r="E32" t="inlineStr">
        <is>
          <t>LOB_FPA</t>
        </is>
      </c>
      <c r="F32" t="inlineStr"/>
      <c r="G32" t="n">
        <v>1</v>
      </c>
      <c r="H32" t="inlineStr">
        <is>
          <t>count</t>
        </is>
      </c>
      <c r="I32" t="inlineStr"/>
      <c r="J32" t="inlineStr"/>
    </row>
    <row r="33">
      <c r="A33" s="2" t="inlineStr">
        <is>
          <t>bk-usc</t>
        </is>
      </c>
      <c r="B33" s="2" t="inlineStr">
        <is>
          <t>yoy</t>
        </is>
      </c>
      <c r="C33" s="2" t="inlineStr">
        <is>
          <t>AOI ($M)</t>
        </is>
      </c>
      <c r="D33" s="2" t="inlineStr"/>
      <c r="E33" s="2" t="inlineStr"/>
      <c r="F33" s="2" t="inlineStr"/>
      <c r="G33" s="2" t="n">
        <v>1000000</v>
      </c>
      <c r="H33" s="2" t="inlineStr">
        <is>
          <t>currency</t>
        </is>
      </c>
      <c r="I33" s="2" t="inlineStr">
        <is>
          <t>Franchise AOI;Property AOI;Ad Fund AOI;Company AOI;Tech Fund AOI;Segment G&amp;A</t>
        </is>
      </c>
      <c r="J33" s="2" t="inlineStr">
        <is>
          <t>Computed sum</t>
        </is>
      </c>
    </row>
    <row r="34">
      <c r="A34" t="inlineStr">
        <is>
          <t>bk-usc</t>
        </is>
      </c>
      <c r="B34" t="inlineStr">
        <is>
          <t>yoy</t>
        </is>
      </c>
      <c r="C34" t="inlineStr">
        <is>
          <t>Unit %</t>
        </is>
      </c>
      <c r="D34" t="inlineStr"/>
      <c r="E34" t="inlineStr"/>
      <c r="F34" t="inlineStr"/>
      <c r="G34" t="n">
        <v>1</v>
      </c>
      <c r="H34" t="inlineStr">
        <is>
          <t>percent</t>
        </is>
      </c>
      <c r="I34" t="inlineStr">
        <is>
          <t>DERIVED:NRG/StoreCount</t>
        </is>
      </c>
      <c r="J34" t="inlineStr"/>
    </row>
    <row r="35">
      <c r="A35" t="inlineStr">
        <is>
          <t>bk-usc</t>
        </is>
      </c>
      <c r="B35" t="inlineStr">
        <is>
          <t>yoy</t>
        </is>
      </c>
      <c r="C35" t="inlineStr">
        <is>
          <t>SWSG</t>
        </is>
      </c>
      <c r="D35" t="inlineStr"/>
      <c r="E35" t="inlineStr"/>
      <c r="F35" t="inlineStr"/>
      <c r="G35" t="n">
        <v>1</v>
      </c>
      <c r="H35" t="inlineStr">
        <is>
          <t>percent</t>
        </is>
      </c>
      <c r="I35" t="inlineStr">
        <is>
          <t>DERIVED:FzSalesGrowth</t>
        </is>
      </c>
      <c r="J35" t="inlineStr"/>
    </row>
    <row r="36">
      <c r="A36" t="inlineStr">
        <is>
          <t>bk-usc</t>
        </is>
      </c>
      <c r="B36" t="inlineStr">
        <is>
          <t>yoy</t>
        </is>
      </c>
      <c r="C36" t="inlineStr">
        <is>
          <t>AOIG</t>
        </is>
      </c>
      <c r="D36" t="inlineStr"/>
      <c r="E36" t="inlineStr"/>
      <c r="F36" t="inlineStr"/>
      <c r="G36" t="n">
        <v>1</v>
      </c>
      <c r="H36" t="inlineStr">
        <is>
          <t>percent</t>
        </is>
      </c>
      <c r="I36" t="inlineStr">
        <is>
          <t>DERIVED:AoiGrowth</t>
        </is>
      </c>
      <c r="J36" t="inlineStr"/>
    </row>
    <row r="37">
      <c r="A37" s="2" t="inlineStr">
        <is>
          <t>bk-usc</t>
        </is>
      </c>
      <c r="B37" s="2" t="inlineStr">
        <is>
          <t>outlook</t>
        </is>
      </c>
      <c r="C37" s="2" t="inlineStr">
        <is>
          <t>AOI</t>
        </is>
      </c>
      <c r="D37" s="2" t="inlineStr"/>
      <c r="E37" s="2" t="inlineStr"/>
      <c r="F37" s="2" t="inlineStr"/>
      <c r="G37" s="2" t="n">
        <v>1000000</v>
      </c>
      <c r="H37" s="2" t="inlineStr">
        <is>
          <t>currency</t>
        </is>
      </c>
      <c r="I37" s="2" t="inlineStr">
        <is>
          <t>Franchise AOI;Property AOI;Ad Fund AOI;Company AOI;Tech Fund AOI;Segment G&amp;A</t>
        </is>
      </c>
      <c r="J37" s="2" t="inlineStr">
        <is>
          <t>Full-year outlook uses computed AOI</t>
        </is>
      </c>
    </row>
    <row r="38">
      <c r="A38" s="2" t="inlineStr">
        <is>
          <t>bk-usc</t>
        </is>
      </c>
      <c r="B38" s="2" t="inlineStr">
        <is>
          <t>headline</t>
        </is>
      </c>
      <c r="C38" s="2" t="inlineStr">
        <is>
          <t>AOI</t>
        </is>
      </c>
      <c r="D38" s="2" t="inlineStr"/>
      <c r="E38" s="2" t="inlineStr"/>
      <c r="F38" s="2" t="inlineStr"/>
      <c r="G38" s="2" t="n">
        <v>1000000</v>
      </c>
      <c r="H38" s="2" t="inlineStr">
        <is>
          <t>currency</t>
        </is>
      </c>
      <c r="I38" s="2" t="inlineStr">
        <is>
          <t>Franchise AOI;Property AOI;Ad Fund AOI;Company AOI;Tech Fund AOI;Segment G&amp;A</t>
        </is>
      </c>
      <c r="J38" s="2" t="inlineStr">
        <is>
          <t>Headline variance = AOI act − LE</t>
        </is>
      </c>
    </row>
    <row r="39">
      <c r="A39" s="4" t="inlineStr">
        <is>
          <t>plk-usc</t>
        </is>
      </c>
      <c r="B39" s="4" t="inlineStr">
        <is>
          <t>kpi_card</t>
        </is>
      </c>
      <c r="C39" s="4" t="inlineStr">
        <is>
          <t>SSS</t>
        </is>
      </c>
      <c r="D39" s="4" t="inlineStr">
        <is>
          <t>ReportedTotalCompSalesSYSTEMPct</t>
        </is>
      </c>
      <c r="E39" s="4" t="inlineStr">
        <is>
          <t>LOB_FPA</t>
        </is>
      </c>
      <c r="F39" s="4" t="inlineStr"/>
      <c r="G39" s="4" t="n">
        <v>1</v>
      </c>
      <c r="H39" s="4" t="inlineStr">
        <is>
          <t>percent</t>
        </is>
      </c>
      <c r="I39" s="4" t="inlineStr"/>
      <c r="J39" s="4" t="inlineStr">
        <is>
          <t>Popeyes — verify ud1</t>
        </is>
      </c>
    </row>
    <row r="40">
      <c r="A40" t="inlineStr">
        <is>
          <t>plk-usc</t>
        </is>
      </c>
      <c r="B40" t="inlineStr">
        <is>
          <t>kpi_card</t>
        </is>
      </c>
      <c r="C40" t="inlineStr">
        <is>
          <t>SST</t>
        </is>
      </c>
      <c r="D40" t="inlineStr">
        <is>
          <t>ReportedTotalCompTrafficSYSTEMPct</t>
        </is>
      </c>
      <c r="E40" t="inlineStr">
        <is>
          <t>LOB_FPA</t>
        </is>
      </c>
      <c r="F40" t="inlineStr"/>
      <c r="G40" t="n">
        <v>1</v>
      </c>
      <c r="H40" t="inlineStr">
        <is>
          <t>percent</t>
        </is>
      </c>
      <c r="I40" t="inlineStr"/>
      <c r="J40" t="inlineStr">
        <is>
          <t>Popeyes — verify ud1</t>
        </is>
      </c>
    </row>
    <row r="41">
      <c r="A41" t="inlineStr">
        <is>
          <t>plk-usc</t>
        </is>
      </c>
      <c r="B41" t="inlineStr">
        <is>
          <t>kpi_card</t>
        </is>
      </c>
      <c r="C41" t="inlineStr">
        <is>
          <t>NRG</t>
        </is>
      </c>
      <c r="D41" t="inlineStr">
        <is>
          <t>SystemNRG</t>
        </is>
      </c>
      <c r="E41" t="inlineStr">
        <is>
          <t>LOB_FPA</t>
        </is>
      </c>
      <c r="F41" t="inlineStr"/>
      <c r="G41" t="n">
        <v>1</v>
      </c>
      <c r="H41" t="inlineStr">
        <is>
          <t>count</t>
        </is>
      </c>
      <c r="I41" t="inlineStr"/>
      <c r="J41" t="inlineStr">
        <is>
          <t>Popeyes — verify ud1</t>
        </is>
      </c>
    </row>
    <row r="42">
      <c r="A42" s="2" t="inlineStr">
        <is>
          <t>plk-usc</t>
        </is>
      </c>
      <c r="B42" s="2" t="inlineStr">
        <is>
          <t>kpi_card</t>
        </is>
      </c>
      <c r="C42" s="2" t="inlineStr">
        <is>
          <t>AOI</t>
        </is>
      </c>
      <c r="D42" s="2" t="inlineStr"/>
      <c r="E42" s="2" t="inlineStr"/>
      <c r="F42" s="2" t="inlineStr"/>
      <c r="G42" s="2" t="n">
        <v>1000000</v>
      </c>
      <c r="H42" s="2" t="inlineStr">
        <is>
          <t>currency</t>
        </is>
      </c>
      <c r="I42" s="2" t="inlineStr">
        <is>
          <t>Franchise AOI;Property AOI;Ad Fund AOI;Company AOI;Tech Fund AOI;Segment G&amp;A</t>
        </is>
      </c>
      <c r="J42" s="2" t="inlineStr">
        <is>
          <t>Popeyes — verify components</t>
        </is>
      </c>
    </row>
    <row r="43">
      <c r="A43" t="inlineStr">
        <is>
          <t>plk-usc</t>
        </is>
      </c>
      <c r="B43" t="inlineStr">
        <is>
          <t>kpi_tracker</t>
        </is>
      </c>
      <c r="C43" t="inlineStr">
        <is>
          <t>sss</t>
        </is>
      </c>
      <c r="D43" t="inlineStr">
        <is>
          <t>ReportedTotalCompSalesSYSTEMPct</t>
        </is>
      </c>
      <c r="E43" t="inlineStr">
        <is>
          <t>LOB_FPA</t>
        </is>
      </c>
      <c r="F43" t="inlineStr"/>
      <c r="G43" t="n">
        <v>1</v>
      </c>
      <c r="H43" t="inlineStr">
        <is>
          <t>percent</t>
        </is>
      </c>
      <c r="I43" t="inlineStr"/>
      <c r="J43" t="inlineStr"/>
    </row>
    <row r="44">
      <c r="A44" t="inlineStr">
        <is>
          <t>plk-usc</t>
        </is>
      </c>
      <c r="B44" t="inlineStr">
        <is>
          <t>kpi_tracker</t>
        </is>
      </c>
      <c r="C44" t="inlineStr">
        <is>
          <t>sst</t>
        </is>
      </c>
      <c r="D44" t="inlineStr">
        <is>
          <t>ReportedTotalCompTrafficSYSTEMPct</t>
        </is>
      </c>
      <c r="E44" t="inlineStr">
        <is>
          <t>LOB_FPA</t>
        </is>
      </c>
      <c r="F44" t="inlineStr"/>
      <c r="G44" t="n">
        <v>1</v>
      </c>
      <c r="H44" t="inlineStr">
        <is>
          <t>percent</t>
        </is>
      </c>
      <c r="I44" t="inlineStr"/>
      <c r="J44" t="inlineStr"/>
    </row>
    <row r="45">
      <c r="A45" t="inlineStr">
        <is>
          <t>plk-usc</t>
        </is>
      </c>
      <c r="B45" t="inlineStr">
        <is>
          <t>kpi_tracker</t>
        </is>
      </c>
      <c r="C45" t="inlineStr">
        <is>
          <t>nrg</t>
        </is>
      </c>
      <c r="D45" t="inlineStr">
        <is>
          <t>SystemNRG</t>
        </is>
      </c>
      <c r="E45" t="inlineStr">
        <is>
          <t>LOB_FPA</t>
        </is>
      </c>
      <c r="F45" t="inlineStr"/>
      <c r="G45" t="n">
        <v>1</v>
      </c>
      <c r="H45" t="inlineStr">
        <is>
          <t>count</t>
        </is>
      </c>
      <c r="I45" t="inlineStr"/>
      <c r="J45" t="inlineStr"/>
    </row>
    <row r="46">
      <c r="A46" s="2" t="inlineStr">
        <is>
          <t>plk-usc</t>
        </is>
      </c>
      <c r="B46" s="2" t="inlineStr">
        <is>
          <t>kpi_tracker</t>
        </is>
      </c>
      <c r="C46" s="2" t="inlineStr">
        <is>
          <t>aoi</t>
        </is>
      </c>
      <c r="D46" s="2" t="inlineStr"/>
      <c r="E46" s="2" t="inlineStr"/>
      <c r="F46" s="2" t="inlineStr"/>
      <c r="G46" s="2" t="n">
        <v>1000000</v>
      </c>
      <c r="H46" s="2" t="inlineStr">
        <is>
          <t>currency</t>
        </is>
      </c>
      <c r="I46" s="2" t="inlineStr">
        <is>
          <t>Franchise AOI;Property AOI;Ad Fund AOI;Company AOI;Tech Fund AOI;Segment G&amp;A</t>
        </is>
      </c>
      <c r="J46" s="2" t="inlineStr"/>
    </row>
    <row r="47">
      <c r="A47" t="inlineStr">
        <is>
          <t>plk-usc</t>
        </is>
      </c>
      <c r="B47" t="inlineStr">
        <is>
          <t>financial</t>
        </is>
      </c>
      <c r="C47" t="inlineStr">
        <is>
          <t>Royalties</t>
        </is>
      </c>
      <c r="D47" t="inlineStr">
        <is>
          <t>RoyaltiesNet</t>
        </is>
      </c>
      <c r="E47" t="inlineStr">
        <is>
          <t>Franchise_FPA</t>
        </is>
      </c>
      <c r="F47" t="inlineStr"/>
      <c r="G47" t="n">
        <v>1000000</v>
      </c>
      <c r="H47" t="inlineStr">
        <is>
          <t>currency</t>
        </is>
      </c>
      <c r="I47" t="inlineStr"/>
      <c r="J47" t="inlineStr">
        <is>
          <t>Popeyes — verify ud1</t>
        </is>
      </c>
    </row>
    <row r="48">
      <c r="A48" s="2" t="inlineStr">
        <is>
          <t>plk-usc</t>
        </is>
      </c>
      <c r="B48" s="2" t="inlineStr">
        <is>
          <t>financial</t>
        </is>
      </c>
      <c r="C48" s="2" t="inlineStr">
        <is>
          <t>Total AOI</t>
        </is>
      </c>
      <c r="D48" s="2" t="inlineStr"/>
      <c r="E48" s="2" t="inlineStr"/>
      <c r="F48" s="2" t="inlineStr"/>
      <c r="G48" s="2" t="n">
        <v>1000000</v>
      </c>
      <c r="H48" s="2" t="inlineStr">
        <is>
          <t>currency</t>
        </is>
      </c>
      <c r="I48" s="2" t="inlineStr">
        <is>
          <t>Franchise AOI;Property AOI;Ad Fund AOI;Company AOI;Tech Fund AOI;Segment G&amp;A</t>
        </is>
      </c>
      <c r="J48" s="2" t="inlineStr">
        <is>
          <t>Computed sum</t>
        </is>
      </c>
    </row>
    <row r="49">
      <c r="A49" s="2" t="inlineStr">
        <is>
          <t>plk-usc</t>
        </is>
      </c>
      <c r="B49" s="2" t="inlineStr">
        <is>
          <t>yoy</t>
        </is>
      </c>
      <c r="C49" s="2" t="inlineStr">
        <is>
          <t>AOI ($M)</t>
        </is>
      </c>
      <c r="D49" s="2" t="inlineStr"/>
      <c r="E49" s="2" t="inlineStr"/>
      <c r="F49" s="2" t="inlineStr"/>
      <c r="G49" s="2" t="n">
        <v>1000000</v>
      </c>
      <c r="H49" s="2" t="inlineStr">
        <is>
          <t>currency</t>
        </is>
      </c>
      <c r="I49" s="2" t="inlineStr">
        <is>
          <t>Franchise AOI;Property AOI;Ad Fund AOI;Company AOI;Tech Fund AOI;Segment G&amp;A</t>
        </is>
      </c>
      <c r="J49" s="2" t="inlineStr"/>
    </row>
    <row r="50">
      <c r="A50" s="2" t="inlineStr">
        <is>
          <t>plk-usc</t>
        </is>
      </c>
      <c r="B50" s="2" t="inlineStr">
        <is>
          <t>outlook</t>
        </is>
      </c>
      <c r="C50" s="2" t="inlineStr">
        <is>
          <t>AOI</t>
        </is>
      </c>
      <c r="D50" s="2" t="inlineStr"/>
      <c r="E50" s="2" t="inlineStr"/>
      <c r="F50" s="2" t="inlineStr"/>
      <c r="G50" s="2" t="n">
        <v>1000000</v>
      </c>
      <c r="H50" s="2" t="inlineStr">
        <is>
          <t>currency</t>
        </is>
      </c>
      <c r="I50" s="2" t="inlineStr">
        <is>
          <t>Franchise AOI;Property AOI;Ad Fund AOI;Company AOI;Tech Fund AOI;Segment G&amp;A</t>
        </is>
      </c>
      <c r="J50" s="2" t="inlineStr"/>
    </row>
    <row r="51">
      <c r="A51" s="2" t="inlineStr">
        <is>
          <t>plk-usc</t>
        </is>
      </c>
      <c r="B51" s="2" t="inlineStr">
        <is>
          <t>headline</t>
        </is>
      </c>
      <c r="C51" s="2" t="inlineStr">
        <is>
          <t>AOI</t>
        </is>
      </c>
      <c r="D51" s="2" t="inlineStr"/>
      <c r="E51" s="2" t="inlineStr"/>
      <c r="F51" s="2" t="inlineStr"/>
      <c r="G51" s="2" t="n">
        <v>1000000</v>
      </c>
      <c r="H51" s="2" t="inlineStr">
        <is>
          <t>currency</t>
        </is>
      </c>
      <c r="I51" s="2" t="inlineStr">
        <is>
          <t>Franchise AOI;Property AOI;Ad Fund AOI;Company AOI;Tech Fund AOI;Segment G&amp;A</t>
        </is>
      </c>
      <c r="J51" s="2" t="inlineStr"/>
    </row>
    <row r="52">
      <c r="A52" s="4" t="inlineStr">
        <is>
          <t>fhs-usc</t>
        </is>
      </c>
      <c r="B52" s="4" t="inlineStr">
        <is>
          <t>kpi_card</t>
        </is>
      </c>
      <c r="C52" s="4" t="inlineStr">
        <is>
          <t>SSS</t>
        </is>
      </c>
      <c r="D52" s="4" t="inlineStr">
        <is>
          <t>ReportedTotalCompSalesSYSTEMPct</t>
        </is>
      </c>
      <c r="E52" s="4" t="inlineStr">
        <is>
          <t>LOB_FPA</t>
        </is>
      </c>
      <c r="F52" s="4" t="inlineStr"/>
      <c r="G52" s="4" t="n">
        <v>1</v>
      </c>
      <c r="H52" s="4" t="inlineStr">
        <is>
          <t>percent</t>
        </is>
      </c>
      <c r="I52" s="4" t="inlineStr"/>
      <c r="J52" s="4" t="inlineStr">
        <is>
          <t>Firehouse — verify ud1</t>
        </is>
      </c>
    </row>
    <row r="53">
      <c r="A53" t="inlineStr">
        <is>
          <t>fhs-usc</t>
        </is>
      </c>
      <c r="B53" t="inlineStr">
        <is>
          <t>kpi_card</t>
        </is>
      </c>
      <c r="C53" t="inlineStr">
        <is>
          <t>SST</t>
        </is>
      </c>
      <c r="D53" t="inlineStr">
        <is>
          <t>ReportedTotalCompTrafficSYSTEMPct</t>
        </is>
      </c>
      <c r="E53" t="inlineStr">
        <is>
          <t>LOB_FPA</t>
        </is>
      </c>
      <c r="F53" t="inlineStr"/>
      <c r="G53" t="n">
        <v>1</v>
      </c>
      <c r="H53" t="inlineStr">
        <is>
          <t>percent</t>
        </is>
      </c>
      <c r="I53" t="inlineStr"/>
      <c r="J53" t="inlineStr">
        <is>
          <t>Firehouse — verify ud1</t>
        </is>
      </c>
    </row>
    <row r="54">
      <c r="A54" t="inlineStr">
        <is>
          <t>fhs-usc</t>
        </is>
      </c>
      <c r="B54" t="inlineStr">
        <is>
          <t>kpi_card</t>
        </is>
      </c>
      <c r="C54" t="inlineStr">
        <is>
          <t>NRG</t>
        </is>
      </c>
      <c r="D54" t="inlineStr">
        <is>
          <t>SystemNRG</t>
        </is>
      </c>
      <c r="E54" t="inlineStr">
        <is>
          <t>LOB_FPA</t>
        </is>
      </c>
      <c r="F54" t="inlineStr"/>
      <c r="G54" t="n">
        <v>1</v>
      </c>
      <c r="H54" t="inlineStr">
        <is>
          <t>count</t>
        </is>
      </c>
      <c r="I54" t="inlineStr"/>
      <c r="J54" t="inlineStr">
        <is>
          <t>Firehouse — verify ud1</t>
        </is>
      </c>
    </row>
    <row r="55">
      <c r="A55" s="2" t="inlineStr">
        <is>
          <t>fhs-usc</t>
        </is>
      </c>
      <c r="B55" s="2" t="inlineStr">
        <is>
          <t>kpi_card</t>
        </is>
      </c>
      <c r="C55" s="2" t="inlineStr">
        <is>
          <t>AOI</t>
        </is>
      </c>
      <c r="D55" s="2" t="inlineStr"/>
      <c r="E55" s="2" t="inlineStr"/>
      <c r="F55" s="2" t="inlineStr"/>
      <c r="G55" s="2" t="n">
        <v>1000000</v>
      </c>
      <c r="H55" s="2" t="inlineStr">
        <is>
          <t>currency</t>
        </is>
      </c>
      <c r="I55" s="2" t="inlineStr">
        <is>
          <t>Franchise AOI;Property AOI;Ad Fund AOI;Company AOI;Tech Fund AOI;Segment G&amp;A</t>
        </is>
      </c>
      <c r="J55" s="2" t="inlineStr">
        <is>
          <t>Firehouse — verify components</t>
        </is>
      </c>
    </row>
    <row r="56">
      <c r="A56" t="inlineStr">
        <is>
          <t>fhs-usc</t>
        </is>
      </c>
      <c r="B56" t="inlineStr">
        <is>
          <t>kpi_tracker</t>
        </is>
      </c>
      <c r="C56" t="inlineStr">
        <is>
          <t>sss</t>
        </is>
      </c>
      <c r="D56" t="inlineStr">
        <is>
          <t>ReportedTotalCompSalesSYSTEMPct</t>
        </is>
      </c>
      <c r="E56" t="inlineStr">
        <is>
          <t>LOB_FPA</t>
        </is>
      </c>
      <c r="F56" t="inlineStr"/>
      <c r="G56" t="n">
        <v>1</v>
      </c>
      <c r="H56" t="inlineStr">
        <is>
          <t>percent</t>
        </is>
      </c>
      <c r="I56" t="inlineStr"/>
      <c r="J56" t="inlineStr"/>
    </row>
    <row r="57">
      <c r="A57" t="inlineStr">
        <is>
          <t>fhs-usc</t>
        </is>
      </c>
      <c r="B57" t="inlineStr">
        <is>
          <t>kpi_tracker</t>
        </is>
      </c>
      <c r="C57" t="inlineStr">
        <is>
          <t>sst</t>
        </is>
      </c>
      <c r="D57" t="inlineStr">
        <is>
          <t>ReportedTotalCompTrafficSYSTEMPct</t>
        </is>
      </c>
      <c r="E57" t="inlineStr">
        <is>
          <t>LOB_FPA</t>
        </is>
      </c>
      <c r="F57" t="inlineStr"/>
      <c r="G57" t="n">
        <v>1</v>
      </c>
      <c r="H57" t="inlineStr">
        <is>
          <t>percent</t>
        </is>
      </c>
      <c r="I57" t="inlineStr"/>
      <c r="J57" t="inlineStr"/>
    </row>
    <row r="58">
      <c r="A58" t="inlineStr">
        <is>
          <t>fhs-usc</t>
        </is>
      </c>
      <c r="B58" t="inlineStr">
        <is>
          <t>kpi_tracker</t>
        </is>
      </c>
      <c r="C58" t="inlineStr">
        <is>
          <t>nrg</t>
        </is>
      </c>
      <c r="D58" t="inlineStr">
        <is>
          <t>SystemNRG</t>
        </is>
      </c>
      <c r="E58" t="inlineStr">
        <is>
          <t>LOB_FPA</t>
        </is>
      </c>
      <c r="F58" t="inlineStr"/>
      <c r="G58" t="n">
        <v>1</v>
      </c>
      <c r="H58" t="inlineStr">
        <is>
          <t>count</t>
        </is>
      </c>
      <c r="I58" t="inlineStr"/>
      <c r="J58" t="inlineStr"/>
    </row>
    <row r="59">
      <c r="A59" s="2" t="inlineStr">
        <is>
          <t>fhs-usc</t>
        </is>
      </c>
      <c r="B59" s="2" t="inlineStr">
        <is>
          <t>kpi_tracker</t>
        </is>
      </c>
      <c r="C59" s="2" t="inlineStr">
        <is>
          <t>aoi</t>
        </is>
      </c>
      <c r="D59" s="2" t="inlineStr"/>
      <c r="E59" s="2" t="inlineStr"/>
      <c r="F59" s="2" t="inlineStr"/>
      <c r="G59" s="2" t="n">
        <v>1000000</v>
      </c>
      <c r="H59" s="2" t="inlineStr">
        <is>
          <t>currency</t>
        </is>
      </c>
      <c r="I59" s="2" t="inlineStr">
        <is>
          <t>Franchise AOI;Property AOI;Ad Fund AOI;Company AOI;Tech Fund AOI;Segment G&amp;A</t>
        </is>
      </c>
      <c r="J59" s="2" t="inlineStr"/>
    </row>
    <row r="60">
      <c r="A60" t="inlineStr">
        <is>
          <t>fhs-usc</t>
        </is>
      </c>
      <c r="B60" t="inlineStr">
        <is>
          <t>financial</t>
        </is>
      </c>
      <c r="C60" t="inlineStr">
        <is>
          <t>Royalties</t>
        </is>
      </c>
      <c r="D60" t="inlineStr">
        <is>
          <t>RoyaltiesNet</t>
        </is>
      </c>
      <c r="E60" t="inlineStr">
        <is>
          <t>Franchise_FPA</t>
        </is>
      </c>
      <c r="F60" t="inlineStr"/>
      <c r="G60" t="n">
        <v>1000000</v>
      </c>
      <c r="H60" t="inlineStr">
        <is>
          <t>currency</t>
        </is>
      </c>
      <c r="I60" t="inlineStr"/>
      <c r="J60" t="inlineStr">
        <is>
          <t>Firehouse — verify ud1</t>
        </is>
      </c>
    </row>
    <row r="61">
      <c r="A61" s="2" t="inlineStr">
        <is>
          <t>fhs-usc</t>
        </is>
      </c>
      <c r="B61" s="2" t="inlineStr">
        <is>
          <t>financial</t>
        </is>
      </c>
      <c r="C61" s="2" t="inlineStr">
        <is>
          <t>Total AOI</t>
        </is>
      </c>
      <c r="D61" s="2" t="inlineStr"/>
      <c r="E61" s="2" t="inlineStr"/>
      <c r="F61" s="2" t="inlineStr"/>
      <c r="G61" s="2" t="n">
        <v>1000000</v>
      </c>
      <c r="H61" s="2" t="inlineStr">
        <is>
          <t>currency</t>
        </is>
      </c>
      <c r="I61" s="2" t="inlineStr">
        <is>
          <t>Franchise AOI;Property AOI;Ad Fund AOI;Company AOI;Tech Fund AOI;Segment G&amp;A</t>
        </is>
      </c>
      <c r="J61" s="2" t="inlineStr">
        <is>
          <t>Computed sum</t>
        </is>
      </c>
    </row>
    <row r="62">
      <c r="A62" s="2" t="inlineStr">
        <is>
          <t>fhs-usc</t>
        </is>
      </c>
      <c r="B62" s="2" t="inlineStr">
        <is>
          <t>yoy</t>
        </is>
      </c>
      <c r="C62" s="2" t="inlineStr">
        <is>
          <t>AOI ($M)</t>
        </is>
      </c>
      <c r="D62" s="2" t="inlineStr"/>
      <c r="E62" s="2" t="inlineStr"/>
      <c r="F62" s="2" t="inlineStr"/>
      <c r="G62" s="2" t="n">
        <v>1000000</v>
      </c>
      <c r="H62" s="2" t="inlineStr">
        <is>
          <t>currency</t>
        </is>
      </c>
      <c r="I62" s="2" t="inlineStr">
        <is>
          <t>Franchise AOI;Property AOI;Ad Fund AOI;Company AOI;Tech Fund AOI;Segment G&amp;A</t>
        </is>
      </c>
      <c r="J62" s="2" t="inlineStr"/>
    </row>
    <row r="63">
      <c r="A63" s="2" t="inlineStr">
        <is>
          <t>fhs-usc</t>
        </is>
      </c>
      <c r="B63" s="2" t="inlineStr">
        <is>
          <t>outlook</t>
        </is>
      </c>
      <c r="C63" s="2" t="inlineStr">
        <is>
          <t>AOI</t>
        </is>
      </c>
      <c r="D63" s="2" t="inlineStr"/>
      <c r="E63" s="2" t="inlineStr"/>
      <c r="F63" s="2" t="inlineStr"/>
      <c r="G63" s="2" t="n">
        <v>1000000</v>
      </c>
      <c r="H63" s="2" t="inlineStr">
        <is>
          <t>currency</t>
        </is>
      </c>
      <c r="I63" s="2" t="inlineStr">
        <is>
          <t>Franchise AOI;Property AOI;Ad Fund AOI;Company AOI;Tech Fund AOI;Segment G&amp;A</t>
        </is>
      </c>
      <c r="J63" s="2" t="inlineStr"/>
    </row>
    <row r="64">
      <c r="A64" s="2" t="inlineStr">
        <is>
          <t>fhs-usc</t>
        </is>
      </c>
      <c r="B64" s="2" t="inlineStr">
        <is>
          <t>headline</t>
        </is>
      </c>
      <c r="C64" s="2" t="inlineStr">
        <is>
          <t>AOI</t>
        </is>
      </c>
      <c r="D64" s="2" t="inlineStr"/>
      <c r="E64" s="2" t="inlineStr"/>
      <c r="F64" s="2" t="inlineStr"/>
      <c r="G64" s="2" t="n">
        <v>1000000</v>
      </c>
      <c r="H64" s="2" t="inlineStr">
        <is>
          <t>currency</t>
        </is>
      </c>
      <c r="I64" s="2" t="inlineStr">
        <is>
          <t>Franchise AOI;Property AOI;Ad Fund AOI;Company AOI;Tech Fund AOI;Segment G&amp;A</t>
        </is>
      </c>
      <c r="J64" s="2" t="inlineStr"/>
    </row>
    <row r="65">
      <c r="A65" s="4" t="inlineStr">
        <is>
          <t>th-usc</t>
        </is>
      </c>
      <c r="B65" s="4" t="inlineStr">
        <is>
          <t>kpi_card</t>
        </is>
      </c>
      <c r="C65" s="4" t="inlineStr">
        <is>
          <t>SSS</t>
        </is>
      </c>
      <c r="D65" s="4" t="inlineStr">
        <is>
          <t>ReportedTotalCompSalesSYSTEMPct</t>
        </is>
      </c>
      <c r="E65" s="4" t="inlineStr">
        <is>
          <t>LOB_FPA</t>
        </is>
      </c>
      <c r="F65" s="4" t="inlineStr"/>
      <c r="G65" s="4" t="n">
        <v>1</v>
      </c>
      <c r="H65" s="4" t="inlineStr">
        <is>
          <t>percent</t>
        </is>
      </c>
      <c r="I65" s="4" t="inlineStr"/>
      <c r="J65" s="4" t="inlineStr">
        <is>
          <t>Tim Hortons — verify ud1</t>
        </is>
      </c>
    </row>
    <row r="66">
      <c r="A66" t="inlineStr">
        <is>
          <t>th-usc</t>
        </is>
      </c>
      <c r="B66" t="inlineStr">
        <is>
          <t>kpi_card</t>
        </is>
      </c>
      <c r="C66" t="inlineStr">
        <is>
          <t>SST</t>
        </is>
      </c>
      <c r="D66" t="inlineStr">
        <is>
          <t>ReportedTotalCompTrafficSYSTEMPct</t>
        </is>
      </c>
      <c r="E66" t="inlineStr">
        <is>
          <t>LOB_FPA</t>
        </is>
      </c>
      <c r="F66" t="inlineStr"/>
      <c r="G66" t="n">
        <v>1</v>
      </c>
      <c r="H66" t="inlineStr">
        <is>
          <t>percent</t>
        </is>
      </c>
      <c r="I66" t="inlineStr"/>
      <c r="J66" t="inlineStr">
        <is>
          <t>Tim Hortons — verify ud1</t>
        </is>
      </c>
    </row>
    <row r="67">
      <c r="A67" t="inlineStr">
        <is>
          <t>th-usc</t>
        </is>
      </c>
      <c r="B67" t="inlineStr">
        <is>
          <t>kpi_card</t>
        </is>
      </c>
      <c r="C67" t="inlineStr">
        <is>
          <t>NRG</t>
        </is>
      </c>
      <c r="D67" t="inlineStr">
        <is>
          <t>SystemNRG</t>
        </is>
      </c>
      <c r="E67" t="inlineStr">
        <is>
          <t>LOB_FPA</t>
        </is>
      </c>
      <c r="F67" t="inlineStr"/>
      <c r="G67" t="n">
        <v>1</v>
      </c>
      <c r="H67" t="inlineStr">
        <is>
          <t>count</t>
        </is>
      </c>
      <c r="I67" t="inlineStr"/>
      <c r="J67" t="inlineStr">
        <is>
          <t>Tim Hortons — verify ud1</t>
        </is>
      </c>
    </row>
    <row r="68">
      <c r="A68" s="2" t="inlineStr">
        <is>
          <t>th-usc</t>
        </is>
      </c>
      <c r="B68" s="2" t="inlineStr">
        <is>
          <t>kpi_card</t>
        </is>
      </c>
      <c r="C68" s="2" t="inlineStr">
        <is>
          <t>AOI</t>
        </is>
      </c>
      <c r="D68" s="2" t="inlineStr"/>
      <c r="E68" s="2" t="inlineStr"/>
      <c r="F68" s="2" t="inlineStr"/>
      <c r="G68" s="2" t="n">
        <v>1000000</v>
      </c>
      <c r="H68" s="2" t="inlineStr">
        <is>
          <t>currency</t>
        </is>
      </c>
      <c r="I68" s="2" t="inlineStr">
        <is>
          <t>Franchise AOI;Property AOI;Ad Fund AOI;Company AOI;Tech Fund AOI;Segment G&amp;A</t>
        </is>
      </c>
      <c r="J68" s="2" t="inlineStr">
        <is>
          <t>Tim Hortons — verify components</t>
        </is>
      </c>
    </row>
    <row r="69">
      <c r="A69" t="inlineStr">
        <is>
          <t>th-usc</t>
        </is>
      </c>
      <c r="B69" t="inlineStr">
        <is>
          <t>kpi_tracker</t>
        </is>
      </c>
      <c r="C69" t="inlineStr">
        <is>
          <t>sss</t>
        </is>
      </c>
      <c r="D69" t="inlineStr">
        <is>
          <t>ReportedTotalCompSalesSYSTEMPct</t>
        </is>
      </c>
      <c r="E69" t="inlineStr">
        <is>
          <t>LOB_FPA</t>
        </is>
      </c>
      <c r="F69" t="inlineStr"/>
      <c r="G69" t="n">
        <v>1</v>
      </c>
      <c r="H69" t="inlineStr">
        <is>
          <t>percent</t>
        </is>
      </c>
      <c r="I69" t="inlineStr"/>
      <c r="J69" t="inlineStr"/>
    </row>
    <row r="70">
      <c r="A70" t="inlineStr">
        <is>
          <t>th-usc</t>
        </is>
      </c>
      <c r="B70" t="inlineStr">
        <is>
          <t>kpi_tracker</t>
        </is>
      </c>
      <c r="C70" t="inlineStr">
        <is>
          <t>sst</t>
        </is>
      </c>
      <c r="D70" t="inlineStr">
        <is>
          <t>ReportedTotalCompTrafficSYSTEMPct</t>
        </is>
      </c>
      <c r="E70" t="inlineStr">
        <is>
          <t>LOB_FPA</t>
        </is>
      </c>
      <c r="F70" t="inlineStr"/>
      <c r="G70" t="n">
        <v>1</v>
      </c>
      <c r="H70" t="inlineStr">
        <is>
          <t>percent</t>
        </is>
      </c>
      <c r="I70" t="inlineStr"/>
      <c r="J70" t="inlineStr"/>
    </row>
    <row r="71">
      <c r="A71" t="inlineStr">
        <is>
          <t>th-usc</t>
        </is>
      </c>
      <c r="B71" t="inlineStr">
        <is>
          <t>kpi_tracker</t>
        </is>
      </c>
      <c r="C71" t="inlineStr">
        <is>
          <t>nrg</t>
        </is>
      </c>
      <c r="D71" t="inlineStr">
        <is>
          <t>SystemNRG</t>
        </is>
      </c>
      <c r="E71" t="inlineStr">
        <is>
          <t>LOB_FPA</t>
        </is>
      </c>
      <c r="F71" t="inlineStr"/>
      <c r="G71" t="n">
        <v>1</v>
      </c>
      <c r="H71" t="inlineStr">
        <is>
          <t>count</t>
        </is>
      </c>
      <c r="I71" t="inlineStr"/>
      <c r="J71" t="inlineStr"/>
    </row>
    <row r="72">
      <c r="A72" s="2" t="inlineStr">
        <is>
          <t>th-usc</t>
        </is>
      </c>
      <c r="B72" s="2" t="inlineStr">
        <is>
          <t>kpi_tracker</t>
        </is>
      </c>
      <c r="C72" s="2" t="inlineStr">
        <is>
          <t>aoi</t>
        </is>
      </c>
      <c r="D72" s="2" t="inlineStr"/>
      <c r="E72" s="2" t="inlineStr"/>
      <c r="F72" s="2" t="inlineStr"/>
      <c r="G72" s="2" t="n">
        <v>1000000</v>
      </c>
      <c r="H72" s="2" t="inlineStr">
        <is>
          <t>currency</t>
        </is>
      </c>
      <c r="I72" s="2" t="inlineStr">
        <is>
          <t>Franchise AOI;Property AOI;Ad Fund AOI;Company AOI;Tech Fund AOI;Segment G&amp;A</t>
        </is>
      </c>
      <c r="J72" s="2" t="inlineStr"/>
    </row>
    <row r="73">
      <c r="A73" t="inlineStr">
        <is>
          <t>th-usc</t>
        </is>
      </c>
      <c r="B73" t="inlineStr">
        <is>
          <t>financial</t>
        </is>
      </c>
      <c r="C73" t="inlineStr">
        <is>
          <t>Royalties</t>
        </is>
      </c>
      <c r="D73" t="inlineStr">
        <is>
          <t>RoyaltiesNet</t>
        </is>
      </c>
      <c r="E73" t="inlineStr">
        <is>
          <t>Franchise_FPA</t>
        </is>
      </c>
      <c r="F73" t="inlineStr"/>
      <c r="G73" t="n">
        <v>1000000</v>
      </c>
      <c r="H73" t="inlineStr">
        <is>
          <t>currency</t>
        </is>
      </c>
      <c r="I73" t="inlineStr"/>
      <c r="J73" t="inlineStr">
        <is>
          <t>Tim Hortons — verify ud1</t>
        </is>
      </c>
    </row>
    <row r="74">
      <c r="A74" s="2" t="inlineStr">
        <is>
          <t>th-usc</t>
        </is>
      </c>
      <c r="B74" s="2" t="inlineStr">
        <is>
          <t>financial</t>
        </is>
      </c>
      <c r="C74" s="2" t="inlineStr">
        <is>
          <t>Total AOI</t>
        </is>
      </c>
      <c r="D74" s="2" t="inlineStr"/>
      <c r="E74" s="2" t="inlineStr"/>
      <c r="F74" s="2" t="inlineStr"/>
      <c r="G74" s="2" t="n">
        <v>1000000</v>
      </c>
      <c r="H74" s="2" t="inlineStr">
        <is>
          <t>currency</t>
        </is>
      </c>
      <c r="I74" s="2" t="inlineStr">
        <is>
          <t>Franchise AOI;Property AOI;Ad Fund AOI;Company AOI;Tech Fund AOI;Segment G&amp;A</t>
        </is>
      </c>
      <c r="J74" s="2" t="inlineStr">
        <is>
          <t>Computed sum</t>
        </is>
      </c>
    </row>
    <row r="75">
      <c r="A75" s="2" t="inlineStr">
        <is>
          <t>th-usc</t>
        </is>
      </c>
      <c r="B75" s="2" t="inlineStr">
        <is>
          <t>yoy</t>
        </is>
      </c>
      <c r="C75" s="2" t="inlineStr">
        <is>
          <t>AOI ($M)</t>
        </is>
      </c>
      <c r="D75" s="2" t="inlineStr"/>
      <c r="E75" s="2" t="inlineStr"/>
      <c r="F75" s="2" t="inlineStr"/>
      <c r="G75" s="2" t="n">
        <v>1000000</v>
      </c>
      <c r="H75" s="2" t="inlineStr">
        <is>
          <t>currency</t>
        </is>
      </c>
      <c r="I75" s="2" t="inlineStr">
        <is>
          <t>Franchise AOI;Property AOI;Ad Fund AOI;Company AOI;Tech Fund AOI;Segment G&amp;A</t>
        </is>
      </c>
      <c r="J75" s="2" t="inlineStr"/>
    </row>
    <row r="76">
      <c r="A76" s="2" t="inlineStr">
        <is>
          <t>th-usc</t>
        </is>
      </c>
      <c r="B76" s="2" t="inlineStr">
        <is>
          <t>outlook</t>
        </is>
      </c>
      <c r="C76" s="2" t="inlineStr">
        <is>
          <t>AOI</t>
        </is>
      </c>
      <c r="D76" s="2" t="inlineStr"/>
      <c r="E76" s="2" t="inlineStr"/>
      <c r="F76" s="2" t="inlineStr"/>
      <c r="G76" s="2" t="n">
        <v>1000000</v>
      </c>
      <c r="H76" s="2" t="inlineStr">
        <is>
          <t>currency</t>
        </is>
      </c>
      <c r="I76" s="2" t="inlineStr">
        <is>
          <t>Franchise AOI;Property AOI;Ad Fund AOI;Company AOI;Tech Fund AOI;Segment G&amp;A</t>
        </is>
      </c>
      <c r="J76" s="2" t="inlineStr"/>
    </row>
    <row r="77">
      <c r="A77" s="2" t="inlineStr">
        <is>
          <t>th-usc</t>
        </is>
      </c>
      <c r="B77" s="2" t="inlineStr">
        <is>
          <t>headline</t>
        </is>
      </c>
      <c r="C77" s="2" t="inlineStr">
        <is>
          <t>AOI</t>
        </is>
      </c>
      <c r="D77" s="2" t="inlineStr"/>
      <c r="E77" s="2" t="inlineStr"/>
      <c r="F77" s="2" t="inlineStr"/>
      <c r="G77" s="2" t="n">
        <v>1000000</v>
      </c>
      <c r="H77" s="2" t="inlineStr">
        <is>
          <t>currency</t>
        </is>
      </c>
      <c r="I77" s="2" t="inlineStr">
        <is>
          <t>Franchise AOI;Property AOI;Ad Fund AOI;Company AOI;Tech Fund AOI;Segment G&amp;A</t>
        </is>
      </c>
      <c r="J77" s="2" t="inlineStr"/>
    </row>
    <row r="78">
      <c r="A78" s="4" t="inlineStr">
        <is>
          <t>intl</t>
        </is>
      </c>
      <c r="B78" s="4" t="inlineStr">
        <is>
          <t>kpi_card</t>
        </is>
      </c>
      <c r="C78" s="4" t="inlineStr">
        <is>
          <t>SSS</t>
        </is>
      </c>
      <c r="D78" s="4" t="inlineStr">
        <is>
          <t>ReportedTotalCompSalesSYSTEMPct</t>
        </is>
      </c>
      <c r="E78" s="4" t="inlineStr">
        <is>
          <t>LOB_FPA</t>
        </is>
      </c>
      <c r="F78" s="4" t="inlineStr"/>
      <c r="G78" s="4" t="n">
        <v>1</v>
      </c>
      <c r="H78" s="4" t="inlineStr">
        <is>
          <t>percent</t>
        </is>
      </c>
      <c r="I78" s="4" t="inlineStr"/>
      <c r="J78" s="4" t="inlineStr">
        <is>
          <t>International — verify ud1</t>
        </is>
      </c>
    </row>
    <row r="79">
      <c r="A79" t="inlineStr">
        <is>
          <t>intl</t>
        </is>
      </c>
      <c r="B79" t="inlineStr">
        <is>
          <t>kpi_card</t>
        </is>
      </c>
      <c r="C79" t="inlineStr">
        <is>
          <t>SST</t>
        </is>
      </c>
      <c r="D79" t="inlineStr">
        <is>
          <t>ReportedTotalCompTrafficSYSTEMPct</t>
        </is>
      </c>
      <c r="E79" t="inlineStr">
        <is>
          <t>LOB_FPA</t>
        </is>
      </c>
      <c r="F79" t="inlineStr"/>
      <c r="G79" t="n">
        <v>1</v>
      </c>
      <c r="H79" t="inlineStr">
        <is>
          <t>percent</t>
        </is>
      </c>
      <c r="I79" t="inlineStr"/>
      <c r="J79" t="inlineStr">
        <is>
          <t>International — verify ud1</t>
        </is>
      </c>
    </row>
    <row r="80">
      <c r="A80" t="inlineStr">
        <is>
          <t>intl</t>
        </is>
      </c>
      <c r="B80" t="inlineStr">
        <is>
          <t>kpi_card</t>
        </is>
      </c>
      <c r="C80" t="inlineStr">
        <is>
          <t>NRG</t>
        </is>
      </c>
      <c r="D80" t="inlineStr">
        <is>
          <t>SystemNRG</t>
        </is>
      </c>
      <c r="E80" t="inlineStr">
        <is>
          <t>LOB_FPA</t>
        </is>
      </c>
      <c r="F80" t="inlineStr"/>
      <c r="G80" t="n">
        <v>1</v>
      </c>
      <c r="H80" t="inlineStr">
        <is>
          <t>count</t>
        </is>
      </c>
      <c r="I80" t="inlineStr"/>
      <c r="J80" t="inlineStr">
        <is>
          <t>International — verify ud1</t>
        </is>
      </c>
    </row>
    <row r="81">
      <c r="A81" s="2" t="inlineStr">
        <is>
          <t>intl</t>
        </is>
      </c>
      <c r="B81" s="2" t="inlineStr">
        <is>
          <t>kpi_card</t>
        </is>
      </c>
      <c r="C81" s="2" t="inlineStr">
        <is>
          <t>AOI</t>
        </is>
      </c>
      <c r="D81" s="2" t="inlineStr"/>
      <c r="E81" s="2" t="inlineStr"/>
      <c r="F81" s="2" t="inlineStr"/>
      <c r="G81" s="2" t="n">
        <v>1000000</v>
      </c>
      <c r="H81" s="2" t="inlineStr">
        <is>
          <t>currency</t>
        </is>
      </c>
      <c r="I81" s="2" t="inlineStr">
        <is>
          <t>Franchise AOI;Property AOI;Ad Fund AOI;Company AOI;Tech Fund AOI;Segment G&amp;A</t>
        </is>
      </c>
      <c r="J81" s="2" t="inlineStr">
        <is>
          <t>International — verify components</t>
        </is>
      </c>
    </row>
    <row r="82">
      <c r="A82" t="inlineStr">
        <is>
          <t>intl</t>
        </is>
      </c>
      <c r="B82" t="inlineStr">
        <is>
          <t>kpi_tracker</t>
        </is>
      </c>
      <c r="C82" t="inlineStr">
        <is>
          <t>sss</t>
        </is>
      </c>
      <c r="D82" t="inlineStr">
        <is>
          <t>ReportedTotalCompSalesSYSTEMPct</t>
        </is>
      </c>
      <c r="E82" t="inlineStr">
        <is>
          <t>LOB_FPA</t>
        </is>
      </c>
      <c r="F82" t="inlineStr"/>
      <c r="G82" t="n">
        <v>1</v>
      </c>
      <c r="H82" t="inlineStr">
        <is>
          <t>percent</t>
        </is>
      </c>
      <c r="I82" t="inlineStr"/>
      <c r="J82" t="inlineStr"/>
    </row>
    <row r="83">
      <c r="A83" t="inlineStr">
        <is>
          <t>intl</t>
        </is>
      </c>
      <c r="B83" t="inlineStr">
        <is>
          <t>kpi_tracker</t>
        </is>
      </c>
      <c r="C83" t="inlineStr">
        <is>
          <t>sst</t>
        </is>
      </c>
      <c r="D83" t="inlineStr">
        <is>
          <t>ReportedTotalCompTrafficSYSTEMPct</t>
        </is>
      </c>
      <c r="E83" t="inlineStr">
        <is>
          <t>LOB_FPA</t>
        </is>
      </c>
      <c r="F83" t="inlineStr"/>
      <c r="G83" t="n">
        <v>1</v>
      </c>
      <c r="H83" t="inlineStr">
        <is>
          <t>percent</t>
        </is>
      </c>
      <c r="I83" t="inlineStr"/>
      <c r="J83" t="inlineStr"/>
    </row>
    <row r="84">
      <c r="A84" t="inlineStr">
        <is>
          <t>intl</t>
        </is>
      </c>
      <c r="B84" t="inlineStr">
        <is>
          <t>kpi_tracker</t>
        </is>
      </c>
      <c r="C84" t="inlineStr">
        <is>
          <t>nrg</t>
        </is>
      </c>
      <c r="D84" t="inlineStr">
        <is>
          <t>SystemNRG</t>
        </is>
      </c>
      <c r="E84" t="inlineStr">
        <is>
          <t>LOB_FPA</t>
        </is>
      </c>
      <c r="F84" t="inlineStr"/>
      <c r="G84" t="n">
        <v>1</v>
      </c>
      <c r="H84" t="inlineStr">
        <is>
          <t>count</t>
        </is>
      </c>
      <c r="I84" t="inlineStr"/>
      <c r="J84" t="inlineStr"/>
    </row>
    <row r="85">
      <c r="A85" s="2" t="inlineStr">
        <is>
          <t>intl</t>
        </is>
      </c>
      <c r="B85" s="2" t="inlineStr">
        <is>
          <t>kpi_tracker</t>
        </is>
      </c>
      <c r="C85" s="2" t="inlineStr">
        <is>
          <t>aoi</t>
        </is>
      </c>
      <c r="D85" s="2" t="inlineStr"/>
      <c r="E85" s="2" t="inlineStr"/>
      <c r="F85" s="2" t="inlineStr"/>
      <c r="G85" s="2" t="n">
        <v>1000000</v>
      </c>
      <c r="H85" s="2" t="inlineStr">
        <is>
          <t>currency</t>
        </is>
      </c>
      <c r="I85" s="2" t="inlineStr">
        <is>
          <t>Franchise AOI;Property AOI;Ad Fund AOI;Company AOI;Tech Fund AOI;Segment G&amp;A</t>
        </is>
      </c>
      <c r="J85" s="2" t="inlineStr"/>
    </row>
    <row r="86">
      <c r="A86" t="inlineStr">
        <is>
          <t>intl</t>
        </is>
      </c>
      <c r="B86" t="inlineStr">
        <is>
          <t>financial</t>
        </is>
      </c>
      <c r="C86" t="inlineStr">
        <is>
          <t>Royalties</t>
        </is>
      </c>
      <c r="D86" t="inlineStr">
        <is>
          <t>RoyaltiesNet</t>
        </is>
      </c>
      <c r="E86" t="inlineStr">
        <is>
          <t>Franchise_FPA</t>
        </is>
      </c>
      <c r="F86" t="inlineStr"/>
      <c r="G86" t="n">
        <v>1000000</v>
      </c>
      <c r="H86" t="inlineStr">
        <is>
          <t>currency</t>
        </is>
      </c>
      <c r="I86" t="inlineStr"/>
      <c r="J86" t="inlineStr">
        <is>
          <t>International — verify ud1</t>
        </is>
      </c>
    </row>
    <row r="87">
      <c r="A87" s="2" t="inlineStr">
        <is>
          <t>intl</t>
        </is>
      </c>
      <c r="B87" s="2" t="inlineStr">
        <is>
          <t>financial</t>
        </is>
      </c>
      <c r="C87" s="2" t="inlineStr">
        <is>
          <t>Total AOI</t>
        </is>
      </c>
      <c r="D87" s="2" t="inlineStr"/>
      <c r="E87" s="2" t="inlineStr"/>
      <c r="F87" s="2" t="inlineStr"/>
      <c r="G87" s="2" t="n">
        <v>1000000</v>
      </c>
      <c r="H87" s="2" t="inlineStr">
        <is>
          <t>currency</t>
        </is>
      </c>
      <c r="I87" s="2" t="inlineStr">
        <is>
          <t>Franchise AOI;Property AOI;Ad Fund AOI;Company AOI;Tech Fund AOI;Segment G&amp;A</t>
        </is>
      </c>
      <c r="J87" s="2" t="inlineStr">
        <is>
          <t>Computed sum</t>
        </is>
      </c>
    </row>
    <row r="88">
      <c r="A88" s="2" t="inlineStr">
        <is>
          <t>intl</t>
        </is>
      </c>
      <c r="B88" s="2" t="inlineStr">
        <is>
          <t>yoy</t>
        </is>
      </c>
      <c r="C88" s="2" t="inlineStr">
        <is>
          <t>AOI ($M)</t>
        </is>
      </c>
      <c r="D88" s="2" t="inlineStr"/>
      <c r="E88" s="2" t="inlineStr"/>
      <c r="F88" s="2" t="inlineStr"/>
      <c r="G88" s="2" t="n">
        <v>1000000</v>
      </c>
      <c r="H88" s="2" t="inlineStr">
        <is>
          <t>currency</t>
        </is>
      </c>
      <c r="I88" s="2" t="inlineStr">
        <is>
          <t>Franchise AOI;Property AOI;Ad Fund AOI;Company AOI;Tech Fund AOI;Segment G&amp;A</t>
        </is>
      </c>
      <c r="J88" s="2" t="inlineStr"/>
    </row>
    <row r="89">
      <c r="A89" s="2" t="inlineStr">
        <is>
          <t>intl</t>
        </is>
      </c>
      <c r="B89" s="2" t="inlineStr">
        <is>
          <t>outlook</t>
        </is>
      </c>
      <c r="C89" s="2" t="inlineStr">
        <is>
          <t>AOI</t>
        </is>
      </c>
      <c r="D89" s="2" t="inlineStr"/>
      <c r="E89" s="2" t="inlineStr"/>
      <c r="F89" s="2" t="inlineStr"/>
      <c r="G89" s="2" t="n">
        <v>1000000</v>
      </c>
      <c r="H89" s="2" t="inlineStr">
        <is>
          <t>currency</t>
        </is>
      </c>
      <c r="I89" s="2" t="inlineStr">
        <is>
          <t>Franchise AOI;Property AOI;Ad Fund AOI;Company AOI;Tech Fund AOI;Segment G&amp;A</t>
        </is>
      </c>
      <c r="J89" s="2" t="inlineStr"/>
    </row>
    <row r="90">
      <c r="A90" s="2" t="inlineStr">
        <is>
          <t>intl</t>
        </is>
      </c>
      <c r="B90" s="2" t="inlineStr">
        <is>
          <t>headline</t>
        </is>
      </c>
      <c r="C90" s="2" t="inlineStr">
        <is>
          <t>AOI</t>
        </is>
      </c>
      <c r="D90" s="2" t="inlineStr"/>
      <c r="E90" s="2" t="inlineStr"/>
      <c r="F90" s="2" t="inlineStr"/>
      <c r="G90" s="2" t="n">
        <v>1000000</v>
      </c>
      <c r="H90" s="2" t="inlineStr">
        <is>
          <t>currency</t>
        </is>
      </c>
      <c r="I90" s="2" t="inlineStr">
        <is>
          <t>Franchise AOI;Property AOI;Ad Fund AOI;Company AOI;Tech Fund AOI;Segment G&amp;A</t>
        </is>
      </c>
      <c r="J90" s="2" t="inlineStr"/>
    </row>
  </sheetData>
  <autoFilter ref="A1:J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5" customWidth="1" min="3" max="3"/>
  </cols>
  <sheetData>
    <row r="1">
      <c r="A1" s="1" t="inlineStr">
        <is>
          <t>dashboard_scenario</t>
        </is>
      </c>
      <c r="B1" s="1" t="inlineStr">
        <is>
          <t>onestream_scenarios</t>
        </is>
      </c>
      <c r="C1" s="1" t="inlineStr">
        <is>
          <t>notes</t>
        </is>
      </c>
    </row>
    <row r="2">
      <c r="A2" t="inlineStr">
        <is>
          <t>actual</t>
        </is>
      </c>
      <c r="B2" t="inlineStr">
        <is>
          <t>Actual</t>
        </is>
      </c>
      <c r="C2" t="inlineStr">
        <is>
          <t>Current period actuals</t>
        </is>
      </c>
    </row>
    <row r="3">
      <c r="A3" t="inlineStr">
        <is>
          <t>le</t>
        </is>
      </c>
      <c r="B3" t="inlineStr">
        <is>
          <t>Forecast_02_10;Working;Forecast_01_11_MARKET</t>
        </is>
      </c>
      <c r="C3" t="inlineStr">
        <is>
          <t>Latest Estimate — try in order</t>
        </is>
      </c>
    </row>
    <row r="4">
      <c r="A4" t="inlineStr">
        <is>
          <t>budget</t>
        </is>
      </c>
      <c r="B4" t="inlineStr">
        <is>
          <t>Budget</t>
        </is>
      </c>
      <c r="C4" t="inlineStr">
        <is>
          <t>Annual operating plan</t>
        </is>
      </c>
    </row>
    <row r="5">
      <c r="A5" t="inlineStr">
        <is>
          <t>py</t>
        </is>
      </c>
      <c r="B5" t="inlineStr">
        <is>
          <t>Act_PY1_ActRate;Act_pY1_ActRate</t>
        </is>
      </c>
      <c r="C5" t="inlineStr">
        <is>
          <t>Prior year actual at actual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8" customWidth="1" min="4" max="4"/>
  </cols>
  <sheetData>
    <row r="1">
      <c r="A1" s="1" t="inlineStr">
        <is>
          <t>dashboard_view</t>
        </is>
      </c>
      <c r="B1" s="1" t="inlineStr">
        <is>
          <t>current_time</t>
        </is>
      </c>
      <c r="C1" s="1" t="inlineStr">
        <is>
          <t>py_time</t>
        </is>
      </c>
      <c r="D1" s="1" t="inlineStr">
        <is>
          <t>notes</t>
        </is>
      </c>
    </row>
    <row r="2">
      <c r="A2" t="inlineStr">
        <is>
          <t>march</t>
        </is>
      </c>
      <c r="B2" t="inlineStr">
        <is>
          <t>2026M3</t>
        </is>
      </c>
      <c r="C2" t="inlineStr">
        <is>
          <t>2025M3</t>
        </is>
      </c>
      <c r="D2" t="inlineStr">
        <is>
          <t>Monthly period (view=PER)</t>
        </is>
      </c>
    </row>
    <row r="3">
      <c r="A3" t="inlineStr">
        <is>
          <t>q1</t>
        </is>
      </c>
      <c r="B3" t="inlineStr">
        <is>
          <t>2026Q1</t>
        </is>
      </c>
      <c r="C3" t="inlineStr">
        <is>
          <t>2025Q1</t>
        </is>
      </c>
      <c r="D3" t="inlineStr">
        <is>
          <t>Quarter (view=PER)</t>
        </is>
      </c>
    </row>
    <row r="4">
      <c r="A4" t="inlineStr">
        <is>
          <t>ytd</t>
        </is>
      </c>
      <c r="B4" t="inlineStr">
        <is>
          <t>2026</t>
        </is>
      </c>
      <c r="C4" t="inlineStr">
        <is>
          <t>2025</t>
        </is>
      </c>
      <c r="D4" t="inlineStr">
        <is>
          <t>Year-to-date (view=PER)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2026-04-16T18:54:55Z</dcterms:created>
  <dcterms:modified xmlns:dcterms="http://purl.org/dc/terms/" xmlns:xsi="http://www.w3.org/2001/XMLSchema-instance" xsi:type="dcterms:W3CDTF">2026-04-16T18:54:55Z</dcterms:modified>
</cp:coreProperties>
</file>